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740" windowHeight="10800"/>
  </bookViews>
  <sheets>
    <sheet name="A-复检_20210924_1" sheetId="1" r:id="rId1"/>
  </sheets>
  <calcPr calcId="144525"/>
</workbook>
</file>

<file path=xl/calcChain.xml><?xml version="1.0" encoding="utf-8"?>
<calcChain xmlns="http://schemas.openxmlformats.org/spreadsheetml/2006/main">
  <c r="I14" i="1" l="1"/>
  <c r="I13" i="1"/>
  <c r="I15" i="1" s="1"/>
  <c r="I8" i="1"/>
  <c r="I7" i="1"/>
  <c r="E44" i="1"/>
  <c r="D44" i="1"/>
  <c r="C44" i="1"/>
  <c r="E43" i="1"/>
  <c r="D43" i="1"/>
  <c r="C43" i="1"/>
  <c r="E42" i="1"/>
  <c r="D42" i="1"/>
  <c r="C42" i="1"/>
  <c r="E37" i="1"/>
  <c r="D37" i="1"/>
  <c r="C37" i="1"/>
  <c r="E36" i="1"/>
  <c r="D36" i="1"/>
  <c r="C36" i="1"/>
</calcChain>
</file>

<file path=xl/sharedStrings.xml><?xml version="1.0" encoding="utf-8"?>
<sst xmlns="http://schemas.openxmlformats.org/spreadsheetml/2006/main" count="43" uniqueCount="7">
  <si>
    <t>A</t>
  </si>
  <si>
    <t>标准差</t>
  </si>
  <si>
    <t>平均值</t>
  </si>
  <si>
    <t>标准值</t>
  </si>
  <si>
    <t>max</t>
  </si>
  <si>
    <t>min</t>
  </si>
  <si>
    <t>&gt;1.33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</si>
</sst>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workbookViewId="0">
      <selection activeCell="I15" sqref="I15"/>
    </sheetView>
  </sheetViews>
  <sheetFormatPr defaultColWidth="9" defaultRowHeight="14.25" x14ac:dyDescent="0.2"/>
  <cols>
    <col min="1" max="1" width="48.5" customWidth="1"/>
    <col min="3" max="4" width="12.625"/>
    <col min="5" max="5" width="13.75"/>
  </cols>
  <sheetData>
    <row r="1" spans="3:9" s="1" customFormat="1" x14ac:dyDescent="0.2">
      <c r="C1" s="2">
        <v>0.877</v>
      </c>
      <c r="D1" s="2">
        <v>1.17</v>
      </c>
      <c r="E1" s="2">
        <v>-0.06</v>
      </c>
      <c r="F1" s="1" t="s">
        <v>0</v>
      </c>
    </row>
    <row r="2" spans="3:9" s="1" customFormat="1" x14ac:dyDescent="0.2">
      <c r="C2" s="2">
        <v>0.88700000000000001</v>
      </c>
      <c r="D2" s="2">
        <v>1.169</v>
      </c>
      <c r="E2" s="2">
        <v>-5.0999999999999997E-2</v>
      </c>
      <c r="F2" s="1" t="s">
        <v>0</v>
      </c>
    </row>
    <row r="3" spans="3:9" s="1" customFormat="1" x14ac:dyDescent="0.2">
      <c r="C3" s="2">
        <v>0.877</v>
      </c>
      <c r="D3" s="2">
        <v>1.1739999999999999</v>
      </c>
      <c r="E3" s="2">
        <v>-0.03</v>
      </c>
      <c r="F3" s="1" t="s">
        <v>0</v>
      </c>
    </row>
    <row r="4" spans="3:9" s="1" customFormat="1" x14ac:dyDescent="0.2">
      <c r="C4" s="2">
        <v>0.88400000000000001</v>
      </c>
      <c r="D4" s="2">
        <v>1.179</v>
      </c>
      <c r="E4" s="2">
        <v>-2.5000000000000001E-2</v>
      </c>
      <c r="F4" s="1" t="s">
        <v>0</v>
      </c>
    </row>
    <row r="5" spans="3:9" s="1" customFormat="1" x14ac:dyDescent="0.2">
      <c r="C5" s="2">
        <v>0.876</v>
      </c>
      <c r="D5" s="2">
        <v>1.1830000000000001</v>
      </c>
      <c r="E5" s="2">
        <v>-9.6000000000000002E-2</v>
      </c>
      <c r="F5" s="1" t="s">
        <v>0</v>
      </c>
    </row>
    <row r="6" spans="3:9" s="1" customFormat="1" x14ac:dyDescent="0.2">
      <c r="C6" s="2">
        <v>0.87</v>
      </c>
      <c r="D6" s="2">
        <v>1.1679999999999999</v>
      </c>
      <c r="E6" s="2">
        <v>-3.4000000000000002E-2</v>
      </c>
      <c r="F6" s="1" t="s">
        <v>0</v>
      </c>
    </row>
    <row r="7" spans="3:9" s="1" customFormat="1" x14ac:dyDescent="0.2">
      <c r="C7" s="2">
        <v>0.878</v>
      </c>
      <c r="D7" s="2">
        <v>1.175</v>
      </c>
      <c r="E7" s="2">
        <v>1.7000000000000001E-2</v>
      </c>
      <c r="F7" s="1" t="s">
        <v>0</v>
      </c>
      <c r="H7" t="s">
        <v>1</v>
      </c>
      <c r="I7">
        <f>STDEV(C1:C5)</f>
        <v>4.9699094559156757E-3</v>
      </c>
    </row>
    <row r="8" spans="3:9" s="1" customFormat="1" x14ac:dyDescent="0.2">
      <c r="C8" s="2">
        <v>0.88800000000000001</v>
      </c>
      <c r="D8" s="2">
        <v>1.1819999999999999</v>
      </c>
      <c r="E8" s="2">
        <v>1.0999999999999999E-2</v>
      </c>
      <c r="F8" s="1" t="s">
        <v>0</v>
      </c>
      <c r="H8" t="s">
        <v>2</v>
      </c>
      <c r="I8">
        <f>AVERAGE(C1:C5)</f>
        <v>0.88019999999999998</v>
      </c>
    </row>
    <row r="9" spans="3:9" s="1" customFormat="1" x14ac:dyDescent="0.2">
      <c r="C9" s="2">
        <v>0.86899999999999999</v>
      </c>
      <c r="D9" s="2">
        <v>1.18</v>
      </c>
      <c r="E9" s="2">
        <v>-0.156</v>
      </c>
      <c r="F9" s="1" t="s">
        <v>0</v>
      </c>
      <c r="H9" t="s">
        <v>3</v>
      </c>
      <c r="I9">
        <v>0.89300000000000002</v>
      </c>
    </row>
    <row r="10" spans="3:9" s="1" customFormat="1" x14ac:dyDescent="0.2">
      <c r="C10" s="2">
        <v>0.88</v>
      </c>
      <c r="D10" s="2">
        <v>1.181</v>
      </c>
      <c r="E10" s="2">
        <v>-0.09</v>
      </c>
      <c r="F10" s="1" t="s">
        <v>0</v>
      </c>
      <c r="H10" t="s">
        <v>4</v>
      </c>
      <c r="I10">
        <v>0.99299999999999999</v>
      </c>
    </row>
    <row r="11" spans="3:9" s="1" customFormat="1" x14ac:dyDescent="0.2">
      <c r="C11" s="2">
        <v>0.87</v>
      </c>
      <c r="D11" s="2">
        <v>1.1739999999999999</v>
      </c>
      <c r="E11" s="2">
        <v>-0.111</v>
      </c>
      <c r="F11" s="1" t="s">
        <v>0</v>
      </c>
      <c r="H11" t="s">
        <v>5</v>
      </c>
      <c r="I11">
        <v>0.79300000000000004</v>
      </c>
    </row>
    <row r="12" spans="3:9" s="1" customFormat="1" x14ac:dyDescent="0.2">
      <c r="C12" s="2">
        <v>0.875</v>
      </c>
      <c r="D12" s="2">
        <v>1.169</v>
      </c>
      <c r="E12" s="2">
        <v>-4.3999999999999997E-2</v>
      </c>
      <c r="F12" s="1" t="s">
        <v>0</v>
      </c>
    </row>
    <row r="13" spans="3:9" s="1" customFormat="1" x14ac:dyDescent="0.2">
      <c r="C13" s="2">
        <v>0.871</v>
      </c>
      <c r="D13" s="2">
        <v>1.169</v>
      </c>
      <c r="E13" s="2">
        <v>8.9999999999999993E-3</v>
      </c>
      <c r="F13" s="1" t="s">
        <v>0</v>
      </c>
      <c r="I13">
        <f>(I10-I11)/(6*I7)</f>
        <v>6.7070303048794395</v>
      </c>
    </row>
    <row r="14" spans="3:9" s="1" customFormat="1" x14ac:dyDescent="0.2">
      <c r="C14" s="2">
        <v>0.86199999999999999</v>
      </c>
      <c r="D14" s="2">
        <v>1.19</v>
      </c>
      <c r="E14" s="2">
        <v>-0.16400000000000001</v>
      </c>
      <c r="F14" s="1" t="s">
        <v>0</v>
      </c>
      <c r="I14">
        <f>(I8-I9)/((I10-I11)/2)</f>
        <v>-0.12800000000000036</v>
      </c>
    </row>
    <row r="15" spans="3:9" s="1" customFormat="1" x14ac:dyDescent="0.2">
      <c r="C15" s="2">
        <v>0.877</v>
      </c>
      <c r="D15" s="2">
        <v>1.1679999999999999</v>
      </c>
      <c r="E15" s="2">
        <v>-2.1999999999999999E-2</v>
      </c>
      <c r="F15" s="1" t="s">
        <v>0</v>
      </c>
      <c r="I15">
        <f>I13*(1-ABS(I14))</f>
        <v>5.8485304258548689</v>
      </c>
    </row>
    <row r="16" spans="3:9" s="1" customFormat="1" x14ac:dyDescent="0.2">
      <c r="C16" s="2">
        <v>0.86899999999999999</v>
      </c>
      <c r="D16" s="2">
        <v>1.167</v>
      </c>
      <c r="E16" s="2">
        <v>-0.08</v>
      </c>
      <c r="F16" s="1" t="s">
        <v>0</v>
      </c>
    </row>
    <row r="17" spans="3:6" s="1" customFormat="1" x14ac:dyDescent="0.2">
      <c r="C17" s="2">
        <v>0.877</v>
      </c>
      <c r="D17" s="2">
        <v>1.1990000000000001</v>
      </c>
      <c r="E17" s="2">
        <v>-6.6000000000000003E-2</v>
      </c>
      <c r="F17" s="1" t="s">
        <v>0</v>
      </c>
    </row>
    <row r="18" spans="3:6" s="1" customFormat="1" x14ac:dyDescent="0.2">
      <c r="C18" s="2">
        <v>0.876</v>
      </c>
      <c r="D18" s="2">
        <v>1.179</v>
      </c>
      <c r="E18" s="2">
        <v>-0.122</v>
      </c>
      <c r="F18" s="1" t="s">
        <v>0</v>
      </c>
    </row>
    <row r="19" spans="3:6" s="1" customFormat="1" x14ac:dyDescent="0.2">
      <c r="C19" s="2">
        <v>0.877</v>
      </c>
      <c r="D19" s="2">
        <v>1.181</v>
      </c>
      <c r="E19" s="2">
        <v>-6.3E-2</v>
      </c>
      <c r="F19" s="1" t="s">
        <v>0</v>
      </c>
    </row>
    <row r="20" spans="3:6" s="1" customFormat="1" x14ac:dyDescent="0.2">
      <c r="C20" s="2">
        <v>0.873</v>
      </c>
      <c r="D20" s="2">
        <v>1.1919999999999999</v>
      </c>
      <c r="E20" s="2">
        <v>-0.104</v>
      </c>
      <c r="F20" s="1" t="s">
        <v>0</v>
      </c>
    </row>
    <row r="21" spans="3:6" s="1" customFormat="1" x14ac:dyDescent="0.2">
      <c r="C21" s="2">
        <v>0.87</v>
      </c>
      <c r="D21" s="2">
        <v>1.1679999999999999</v>
      </c>
      <c r="E21" s="2">
        <v>-0.10100000000000001</v>
      </c>
      <c r="F21" s="1" t="s">
        <v>0</v>
      </c>
    </row>
    <row r="22" spans="3:6" s="1" customFormat="1" x14ac:dyDescent="0.2">
      <c r="C22" s="2">
        <v>0.876</v>
      </c>
      <c r="D22" s="2">
        <v>1.175</v>
      </c>
      <c r="E22" s="2">
        <v>-0.158</v>
      </c>
      <c r="F22" s="1" t="s">
        <v>0</v>
      </c>
    </row>
    <row r="23" spans="3:6" s="1" customFormat="1" x14ac:dyDescent="0.2">
      <c r="C23" s="2">
        <v>0.88100000000000001</v>
      </c>
      <c r="D23" s="2">
        <v>1.1639999999999999</v>
      </c>
      <c r="E23" s="2">
        <v>-7.1999999999999995E-2</v>
      </c>
      <c r="F23" s="1" t="s">
        <v>0</v>
      </c>
    </row>
    <row r="24" spans="3:6" s="1" customFormat="1" x14ac:dyDescent="0.2">
      <c r="C24" s="2">
        <v>0.88100000000000001</v>
      </c>
      <c r="D24" s="2">
        <v>1.167</v>
      </c>
      <c r="E24" s="2">
        <v>3.3000000000000002E-2</v>
      </c>
      <c r="F24" s="1" t="s">
        <v>0</v>
      </c>
    </row>
    <row r="25" spans="3:6" s="1" customFormat="1" x14ac:dyDescent="0.2">
      <c r="C25" s="2">
        <v>0.87</v>
      </c>
      <c r="D25" s="2">
        <v>1.1739999999999999</v>
      </c>
      <c r="E25" s="2">
        <v>-1.2999999999999999E-2</v>
      </c>
      <c r="F25" s="1" t="s">
        <v>0</v>
      </c>
    </row>
    <row r="26" spans="3:6" s="1" customFormat="1" x14ac:dyDescent="0.2">
      <c r="C26" s="2">
        <v>0.874</v>
      </c>
      <c r="D26" s="2">
        <v>1.1870000000000001</v>
      </c>
      <c r="E26" s="2">
        <v>-6.0999999999999999E-2</v>
      </c>
      <c r="F26" s="1" t="s">
        <v>0</v>
      </c>
    </row>
    <row r="27" spans="3:6" s="1" customFormat="1" x14ac:dyDescent="0.2">
      <c r="C27" s="2">
        <v>0.88600000000000001</v>
      </c>
      <c r="D27" s="2">
        <v>1.18</v>
      </c>
      <c r="E27" s="2">
        <v>-0.04</v>
      </c>
      <c r="F27" s="1" t="s">
        <v>0</v>
      </c>
    </row>
    <row r="28" spans="3:6" s="1" customFormat="1" x14ac:dyDescent="0.2">
      <c r="C28" s="2">
        <v>0.876</v>
      </c>
      <c r="D28" s="2">
        <v>1.1950000000000001</v>
      </c>
      <c r="E28" s="2">
        <v>-6.6000000000000003E-2</v>
      </c>
      <c r="F28" s="1" t="s">
        <v>0</v>
      </c>
    </row>
    <row r="29" spans="3:6" s="1" customFormat="1" x14ac:dyDescent="0.2">
      <c r="C29" s="2">
        <v>0.88300000000000001</v>
      </c>
      <c r="D29" s="2">
        <v>1.1779999999999999</v>
      </c>
      <c r="E29" s="2">
        <v>5.6000000000000001E-2</v>
      </c>
      <c r="F29" s="1" t="s">
        <v>0</v>
      </c>
    </row>
    <row r="30" spans="3:6" s="1" customFormat="1" x14ac:dyDescent="0.2">
      <c r="C30" s="2">
        <v>0.89</v>
      </c>
      <c r="D30" s="2">
        <v>1.181</v>
      </c>
      <c r="E30" s="2">
        <v>0.20300000000000001</v>
      </c>
      <c r="F30" s="1" t="s">
        <v>0</v>
      </c>
    </row>
    <row r="31" spans="3:6" s="1" customFormat="1" x14ac:dyDescent="0.2">
      <c r="C31" s="2">
        <v>0.871</v>
      </c>
      <c r="D31" s="2">
        <v>1.179</v>
      </c>
      <c r="E31" s="2">
        <v>-7.5999999999999998E-2</v>
      </c>
      <c r="F31" s="1" t="s">
        <v>0</v>
      </c>
    </row>
    <row r="32" spans="3:6" s="1" customFormat="1" x14ac:dyDescent="0.2">
      <c r="C32" s="2">
        <v>0.88100000000000001</v>
      </c>
      <c r="D32" s="2">
        <v>1.173</v>
      </c>
      <c r="E32" s="2">
        <v>-2.1000000000000001E-2</v>
      </c>
      <c r="F32" s="1" t="s">
        <v>0</v>
      </c>
    </row>
    <row r="36" spans="1:5" x14ac:dyDescent="0.2">
      <c r="B36" t="s">
        <v>1</v>
      </c>
      <c r="C36">
        <f>STDEV(C1:C32)</f>
        <v>6.38420429780635E-3</v>
      </c>
      <c r="D36">
        <f>STDEV(D1:D32)</f>
        <v>8.6971908701751702E-3</v>
      </c>
      <c r="E36">
        <f>STDEV(E1:E32)</f>
        <v>7.0763741114016995E-2</v>
      </c>
    </row>
    <row r="37" spans="1:5" x14ac:dyDescent="0.2">
      <c r="B37" t="s">
        <v>2</v>
      </c>
      <c r="C37">
        <f>AVERAGE(C1:C32)</f>
        <v>0.87662499999999999</v>
      </c>
      <c r="D37">
        <f>AVERAGE(D1:D32)</f>
        <v>1.1771875000000001</v>
      </c>
      <c r="E37">
        <f>AVERAGE(E1:E32)</f>
        <v>-4.9906249999999999E-2</v>
      </c>
    </row>
    <row r="38" spans="1:5" x14ac:dyDescent="0.2">
      <c r="B38" t="s">
        <v>3</v>
      </c>
      <c r="C38">
        <v>0.89300000000000002</v>
      </c>
      <c r="D38">
        <v>1.1599999999999999</v>
      </c>
      <c r="E38">
        <v>0</v>
      </c>
    </row>
    <row r="39" spans="1:5" x14ac:dyDescent="0.2">
      <c r="B39" t="s">
        <v>4</v>
      </c>
      <c r="C39">
        <v>0.99299999999999999</v>
      </c>
      <c r="D39">
        <v>1.26</v>
      </c>
      <c r="E39">
        <v>1</v>
      </c>
    </row>
    <row r="40" spans="1:5" x14ac:dyDescent="0.2">
      <c r="B40" t="s">
        <v>5</v>
      </c>
      <c r="C40">
        <v>0.79300000000000004</v>
      </c>
      <c r="D40">
        <v>1.06</v>
      </c>
      <c r="E40">
        <v>-1</v>
      </c>
    </row>
    <row r="42" spans="1:5" x14ac:dyDescent="0.2">
      <c r="C42">
        <f>(C39-C40)/(6*C36)</f>
        <v>5.2212197132831202</v>
      </c>
      <c r="D42">
        <f>(D39-D40)/(6*D36)</f>
        <v>3.8326551447366302</v>
      </c>
      <c r="E42">
        <f>(E39-E40)/(6*E36)</f>
        <v>4.71051032754551</v>
      </c>
    </row>
    <row r="43" spans="1:5" x14ac:dyDescent="0.2">
      <c r="C43">
        <f>(C37-C38)/((C39-C40)/2)</f>
        <v>-0.16374999999999901</v>
      </c>
      <c r="D43">
        <f>(D37-D38)/((D39-D40)/2)</f>
        <v>0.171875000000001</v>
      </c>
      <c r="E43">
        <f>(E37-E38)/((E39-E40)/2)</f>
        <v>-4.9906249999999999E-2</v>
      </c>
    </row>
    <row r="44" spans="1:5" x14ac:dyDescent="0.2">
      <c r="A44" s="3" t="s">
        <v>6</v>
      </c>
      <c r="C44">
        <f>C42*(1-ABS(C43))</f>
        <v>4.3662449852330099</v>
      </c>
      <c r="D44">
        <f>D42*(1-ABS(D43))</f>
        <v>3.1739175417350198</v>
      </c>
      <c r="E44">
        <f>E42*(1-ABS(E43))</f>
        <v>4.4754264215114397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A-复检_20210924_1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2021-09-24T05:24:00Z</dcterms:created>
  <dcterms:modified xsi:type="dcterms:W3CDTF">2022-07-08T04:07:42Z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